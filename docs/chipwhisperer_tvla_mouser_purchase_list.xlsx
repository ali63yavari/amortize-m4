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fab2f1f83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VLA Purchase List" sheetId="1" r:id="R095cc1cb5da0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155CC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374151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right"/>
    </x:xf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6" borderId="0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right" wrapText="1"/>
    </x:xf>
    <x:xf numFmtId="201" fontId="4" fillId="6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right" wrapText="1"/>
    </x:xf>
    <x:xf numFmtId="201" fontId="4" fillId="6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e583ba52f4aa6" /><Relationship Type="http://schemas.openxmlformats.org/officeDocument/2006/relationships/theme" Target="/xl/theme/theme1.xml" Id="R6541bfdbaa3d45eb" /><Relationship Type="http://schemas.openxmlformats.org/officeDocument/2006/relationships/sharedStrings" Target="/xl/sharedStrings.xml" Id="R3a2daa00b76d45f1" /><Relationship Type="http://schemas.openxmlformats.org/officeDocument/2006/relationships/worksheet" Target="/xl/worksheets/sheet1.xml" Id="R095cc1cb5da0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5a88991097c4da4" /><Relationship Type="http://schemas.openxmlformats.org/officeDocument/2006/relationships/image" Target="/xl/media/image2.png" Id="Rf845c2ea31fe4d5f" /><Relationship Type="http://schemas.openxmlformats.org/officeDocument/2006/relationships/image" Target="/xl/media/image3.png" Id="R58892e43765e49a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4</xdr:row>
      <xdr:rowOff>57150</xdr:rowOff>
    </xdr:from>
    <xdr:ext cx="1143000" cy="762000"/>
    <xdr:pic>
      <xdr:nvPicPr>
        <xdr:cNvPr id="1" name="b1a6c0b1-ed74-4ca2-b8e7-d8fb840853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a88991097c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</xdr:row>
      <xdr:rowOff>57150</xdr:rowOff>
    </xdr:from>
    <xdr:ext cx="1143000" cy="762000"/>
    <xdr:pic>
      <xdr:nvPicPr>
        <xdr:cNvPr id="2" name="de0af9fe-871d-4b95-90db-256163d81f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45c2ea31fe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57150</xdr:rowOff>
    </xdr:from>
    <xdr:ext cx="1143000" cy="762000"/>
    <xdr:pic>
      <xdr:nvPicPr>
        <xdr:cNvPr id="3" name="d9ff2d4d-4b25-4899-9569-6603c5f0ed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92e43765e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VLAPurchaseTable" displayName="TVLAPurchaseTable" ref="A4:J7" headerRowCount="1">
  <x:tableColumns count="10">
    <x:tableColumn id="1" name="Image"/>
    <x:tableColumn id="2" name="Item"/>
    <x:tableColumn id="3" name="Mfr. Part No."/>
    <x:tableColumn id="4" name="Mouser Part No."/>
    <x:tableColumn id="5" name="Description"/>
    <x:tableColumn id="6" name="Required for"/>
    <x:tableColumn id="7" name="Qty"/>
    <x:tableColumn id="8" name="Unit Price (USD)"/>
    <x:tableColumn id="9" name="Extended Price (USD)"/>
    <x:tableColumn id="10" name="Mouser Link"/>
  </x:tableColumns>
  <x:tableStyleInfo name="TableStyleMedium2" showRowStripes="1"/>
</x:table>
</file>

<file path=xl/tables/table2.xml><?xml version="1.0" encoding="utf-8"?>
<x:table xmlns:x="http://schemas.openxmlformats.org/spreadsheetml/2006/main" id="2" name="SourceTable" displayName="SourceTable" ref="A16:D22" headerRowCount="1">
  <x:tableColumns count="4">
    <x:tableColumn id="1" name="Source Type"/>
    <x:tableColumn id="2" name="Part"/>
    <x:tableColumn id="3" name="URL"/>
    <x:tableColumn id="4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d6b8eaecac45c7" /><Relationship Type="http://schemas.openxmlformats.org/officeDocument/2006/relationships/table" Target="/xl/tables/table1.xml" Id="Ra9e33bda64a34865" /><Relationship Type="http://schemas.openxmlformats.org/officeDocument/2006/relationships/table" Target="/xl/tables/table2.xml" Id="R3664cb87f2ef48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6" hidden="0" customWidth="1"/>
    <x:col min="4" max="4" width="22" hidden="0" customWidth="1"/>
    <x:col min="5" max="5" width="42" hidden="0" customWidth="1"/>
    <x:col min="6" max="6" width="36" hidden="0" customWidth="1"/>
    <x:col min="7" max="7" width="8" hidden="0" customWidth="1"/>
    <x:col min="8" max="8" width="16" hidden="0" customWidth="1"/>
    <x:col min="9" max="9" width="18" hidden="0" customWidth="1"/>
    <x:col min="10" max="10" width="62" hidden="0" customWidth="1"/>
  </x:cols>
  <x:sheetData>
    <x:row r="1" ht="28" customHeight="1">
      <x:c r="A1" s="5" t="str">
        <x:v>ChipWhisperer / CW308 TVLA Purchase List (Mouser)</x:v>
      </x:c>
      <x:c r="B1" s="5" t="str">
        <x:v>ChipWhisperer / CW308 TVLA Purchase List (Mouser)</x:v>
      </x:c>
      <x:c r="C1" s="5" t="str">
        <x:v>ChipWhisperer / CW308 TVLA Purchase List (Mouser)</x:v>
      </x:c>
      <x:c r="D1" s="5" t="str">
        <x:v>ChipWhisperer / CW308 TVLA Purchase List (Mouser)</x:v>
      </x:c>
      <x:c r="E1" s="5" t="str">
        <x:v>ChipWhisperer / CW308 TVLA Purchase List (Mouser)</x:v>
      </x:c>
      <x:c r="F1" s="5" t="str">
        <x:v>ChipWhisperer / CW308 TVLA Purchase List (Mouser)</x:v>
      </x:c>
      <x:c r="G1" s="5" t="str">
        <x:v>ChipWhisperer / CW308 TVLA Purchase List (Mouser)</x:v>
      </x:c>
      <x:c r="H1" s="5" t="str">
        <x:v>ChipWhisperer / CW308 TVLA Purchase List (Mouser)</x:v>
      </x:c>
      <x:c r="I1" s="5" t="str">
        <x:v>ChipWhisperer / CW308 TVLA Purchase List (Mouser)</x:v>
      </x:c>
      <x:c r="J1" s="5" t="str">
        <x:v>ChipWhisperer / CW308 TVLA Purchase List (Mouser)</x:v>
      </x:c>
    </x:row>
    <x:row r="2" ht="24" customHeight="1">
      <x:c r="A2" s="13" t="str">
        <x:v>Prices extracted from Mouser pages on 2026-06-29. Check live stock/price before ordering.</x:v>
      </x:c>
      <x:c r="B2" s="13" t="str">
        <x:v>Prices extracted from Mouser pages on 2026-06-29. Check live stock/price before ordering.</x:v>
      </x:c>
      <x:c r="C2" s="13" t="str">
        <x:v>Prices extracted from Mouser pages on 2026-06-29. Check live stock/price before ordering.</x:v>
      </x:c>
      <x:c r="D2" s="13" t="str">
        <x:v>Prices extracted from Mouser pages on 2026-06-29. Check live stock/price before ordering.</x:v>
      </x:c>
      <x:c r="E2" s="13" t="str">
        <x:v>Prices extracted from Mouser pages on 2026-06-29. Check live stock/price before ordering.</x:v>
      </x:c>
      <x:c r="F2" s="13" t="str">
        <x:v>Prices extracted from Mouser pages on 2026-06-29. Check live stock/price before ordering.</x:v>
      </x:c>
      <x:c r="G2" s="13" t="str">
        <x:v>Prices extracted from Mouser pages on 2026-06-29. Check live stock/price before ordering.</x:v>
      </x:c>
      <x:c r="H2" s="13" t="str">
        <x:v>Prices extracted from Mouser pages on 2026-06-29. Check live stock/price before ordering.</x:v>
      </x:c>
      <x:c r="I2" s="13" t="str">
        <x:v>Prices extracted from Mouser pages on 2026-06-29. Check live stock/price before ordering.</x:v>
      </x:c>
      <x:c r="J2" s="13" t="str">
        <x:v>Prices extracted from Mouser pages on 2026-06-29. Check live stock/price before ordering.</x:v>
      </x:c>
    </x:row>
    <x:row r="4" ht="34" customHeight="1">
      <x:c r="A4" s="22" t="str">
        <x:v>Image</x:v>
      </x:c>
      <x:c r="B4" s="22" t="str">
        <x:v>Item</x:v>
      </x:c>
      <x:c r="C4" s="22" t="str">
        <x:v>Mfr. Part No.</x:v>
      </x:c>
      <x:c r="D4" s="22" t="str">
        <x:v>Mouser Part No.</x:v>
      </x:c>
      <x:c r="E4" s="22" t="str">
        <x:v>Description</x:v>
      </x:c>
      <x:c r="F4" s="22" t="str">
        <x:v>Required for</x:v>
      </x:c>
      <x:c r="G4" s="22" t="str">
        <x:v>Qty</x:v>
      </x:c>
      <x:c r="H4" s="22" t="str">
        <x:v>Unit Price (USD)</x:v>
      </x:c>
      <x:c r="I4" s="22" t="str">
        <x:v>Extended Price (USD)</x:v>
      </x:c>
      <x:c r="J4" s="22" t="str">
        <x:v>Mouser Link</x:v>
      </x:c>
    </x:row>
    <x:row r="5" ht="92" customHeight="1">
      <x:c r="A5" s="62" t="str"/>
      <x:c r="B5" s="62" t="str">
        <x:v>ChipWhisperer-Lite Arm / 32-bit starter kit</x:v>
      </x:c>
      <x:c r="C5" s="62" t="str">
        <x:v>NAE-CWLITE-ARM</x:v>
      </x:c>
      <x:c r="D5" s="62" t="str">
        <x:v>343-CWLITEARM</x:v>
      </x:c>
      <x:c r="E5" s="62" t="str">
        <x:v>Development Boards &amp; Kits - ARM ChipWhisperer-Lite Arm</x:v>
      </x:c>
      <x:c r="F5" s="62" t="str">
        <x:v>Capture hardware / starter kit for power-analysis workflow</x:v>
      </x:c>
      <x:c r="G5" s="68" t="n">
        <x:v>1</x:v>
      </x:c>
      <x:c r="H5" s="69" t="n">
        <x:v>368.75</x:v>
      </x:c>
      <x:c r="I5" s="69" t="n">
        <x:f>G5*H5</x:f>
        <x:v>368.75</x:v>
      </x:c>
      <x:c r="J5" s="72" t="str">
        <x:v>https://www.mouser.com/ProductDetail/NewAE/NAE-CWLITE-ARM?qs=r5DSvlrkXmIUEZprO%2Fombw%3D%3D</x:v>
      </x:c>
    </x:row>
    <x:row r="6" ht="92" customHeight="1">
      <x:c r="A6" s="62" t="str"/>
      <x:c r="B6" s="62" t="str">
        <x:v>CW308 UFO target baseboard</x:v>
      </x:c>
      <x:c r="C6" s="62" t="str">
        <x:v>NAE-CW308-04</x:v>
      </x:c>
      <x:c r="D6" s="62" t="str">
        <x:v>343-CW30804</x:v>
      </x:c>
      <x:c r="E6" s="62" t="str">
        <x:v>Development Boards &amp; Kits - AVR ChipWhisperer UFO Target Baseboard</x:v>
      </x:c>
      <x:c r="F6" s="62" t="str">
        <x:v>UFO baseboard for mounting target boards</x:v>
      </x:c>
      <x:c r="G6" s="68" t="n">
        <x:v>1</x:v>
      </x:c>
      <x:c r="H6" s="69" t="n">
        <x:v>343.75</x:v>
      </x:c>
      <x:c r="I6" s="69" t="n">
        <x:f>G6*H6</x:f>
        <x:v>343.75</x:v>
      </x:c>
      <x:c r="J6" s="72" t="str">
        <x:v>https://www.mouser.com/ProductDetail/NewAE/NAE-CW308-04?qs=r5DSvlrkXmKNVdAQ9%252BKpFQ%3D%3D</x:v>
      </x:c>
    </x:row>
    <x:row r="7" ht="92" customHeight="1">
      <x:c r="A7" s="62" t="str"/>
      <x:c r="B7" s="62" t="str">
        <x:v>CW308T-STM32F4 target with hardware crypto</x:v>
      </x:c>
      <x:c r="C7" s="62" t="str">
        <x:v>NAE-CW308T-STM32F4HWC</x:v>
      </x:c>
      <x:c r="D7" s="62" t="str">
        <x:v>343-CW308TSTM32F4HWC</x:v>
      </x:c>
      <x:c r="E7" s="62" t="str">
        <x:v>Development Boards &amp; Kits - ARM STM32F4 w/ Hardware Crypto Target for CW308</x:v>
      </x:c>
      <x:c r="F7" s="62" t="str">
        <x:v>STM32F4 target board for CW308 TVLA / side-channel experiments</x:v>
      </x:c>
      <x:c r="G7" s="68" t="n">
        <x:v>1</x:v>
      </x:c>
      <x:c r="H7" s="69" t="n">
        <x:v>50</x:v>
      </x:c>
      <x:c r="I7" s="69" t="n">
        <x:f>G7*H7</x:f>
        <x:v>50</x:v>
      </x:c>
      <x:c r="J7" s="72" t="str">
        <x:v>https://www.mouser.com/ProductDetail/NewAE/NAE-CW308T-STM32F4HWC?qs=r5DSvlrkXmLrgVVFt%252BpyiQ%3D%3D</x:v>
      </x:c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</x:row>
    <x:row r="9">
      <x:c r="A9" s="48"/>
      <x:c r="B9" s="48"/>
      <x:c r="C9" s="48"/>
      <x:c r="D9" s="48"/>
      <x:c r="E9" s="48"/>
      <x:c r="F9" s="48"/>
      <x:c r="G9" s="48"/>
      <x:c r="H9" s="51" t="str">
        <x:v>Estimated Total (USD)</x:v>
      </x:c>
      <x:c r="I9" s="52" t="n">
        <x:f>SUM(I5:I7)</x:f>
        <x:v>762.5</x:v>
      </x:c>
      <x:c r="J9" s="48"/>
    </x:row>
    <x:row r="10" ht="24" customHeight="1">
      <x:c r="A10" s="53" t="str">
        <x:v>Notes</x:v>
      </x:c>
      <x:c r="B10" s="53" t="str">
        <x:v>Notes</x:v>
      </x:c>
      <x:c r="C10" s="53" t="str">
        <x:v>Notes</x:v>
      </x:c>
      <x:c r="D10" s="53" t="str">
        <x:v>Notes</x:v>
      </x:c>
      <x:c r="E10" s="53" t="str">
        <x:v>Notes</x:v>
      </x:c>
      <x:c r="F10" s="53" t="str">
        <x:v>Notes</x:v>
      </x:c>
      <x:c r="G10" s="48"/>
      <x:c r="H10" s="51" t="str">
        <x:v>Shipping / tax / duties</x:v>
      </x:c>
      <x:c r="I10" s="54" t="str">
        <x:v>Not included</x:v>
      </x:c>
      <x:c r="J10" s="48"/>
    </x:row>
    <x:row r="11" ht="24" customHeight="1">
      <x:c r="A11" s="48" t="str">
        <x:v>The list follows the parts discussed for a CW-Lite + CW308 UFO + STM32F4 TVLA setup. If you want the cleanest external-target workflow, also verify whether NAE-CWLITE-CAPTURE is more suitable than the single-board NAE-CWLITE-ARM package for your exact cables/accessory needs.</x:v>
      </x:c>
      <x:c r="B11" s="48"/>
      <x:c r="C11" s="48"/>
      <x:c r="D11" s="48"/>
      <x:c r="E11" s="48"/>
      <x:c r="F11" s="48"/>
      <x:c r="G11" s="48"/>
      <x:c r="H11" s="51" t="str">
        <x:v>Currency</x:v>
      </x:c>
      <x:c r="I11" s="54" t="str">
        <x:v>USD</x:v>
      </x:c>
      <x:c r="J11" s="48"/>
    </x:row>
    <x:row r="12" ht="24" customHeight="1">
      <x:c r="A12" s="48" t="str">
        <x:v>Prices are 1-unit list prices extracted from Mouser search/product pages; stock and regional price can change.</x:v>
      </x:c>
      <x:c r="B12" s="48"/>
      <x:c r="C12" s="48"/>
      <x:c r="D12" s="48"/>
      <x:c r="E12" s="48"/>
      <x:c r="F12" s="48"/>
      <x:c r="G12" s="48"/>
      <x:c r="H12" s="48"/>
      <x:c r="I12" s="48"/>
      <x:c r="J12" s="48"/>
    </x:row>
    <x:row r="13" ht="24" customHeight="1">
      <x:c r="A13" s="48" t="str">
        <x:v>Image source: Mouser product images; images are for reference only.</x:v>
      </x:c>
      <x:c r="B13" s="48"/>
      <x:c r="C13" s="48"/>
      <x:c r="D13" s="48"/>
      <x:c r="E13" s="48"/>
      <x:c r="F13" s="48"/>
      <x:c r="G13" s="48"/>
      <x:c r="H13" s="48"/>
      <x:c r="I13" s="48"/>
      <x:c r="J13" s="48"/>
    </x:row>
    <x:row r="14" ht="24" customHeight="1">
      <x:c r="A14" s="48" t="str"/>
      <x:c r="B14" s="48"/>
      <x:c r="C14" s="48"/>
      <x:c r="D14" s="48"/>
      <x:c r="E14" s="48"/>
      <x:c r="F14" s="48"/>
      <x:c r="G14" s="48"/>
      <x:c r="H14" s="48"/>
      <x:c r="I14" s="48"/>
      <x:c r="J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</x:row>
    <x:row r="16">
      <x:c r="A16" s="22" t="str">
        <x:v>Source Type</x:v>
      </x:c>
      <x:c r="B16" s="22" t="str">
        <x:v>Part</x:v>
      </x:c>
      <x:c r="C16" s="22" t="str">
        <x:v>URL</x:v>
      </x:c>
      <x:c r="D16" s="22" t="str">
        <x:v>Purpose</x:v>
      </x:c>
      <x:c r="E16" s="48"/>
      <x:c r="F16" s="48"/>
      <x:c r="G16" s="48"/>
      <x:c r="H16" s="48"/>
      <x:c r="I16" s="48"/>
      <x:c r="J16" s="48"/>
    </x:row>
    <x:row r="17">
      <x:c r="A17" s="74" t="str">
        <x:v>Mouser product page</x:v>
      </x:c>
      <x:c r="B17" s="74" t="str">
        <x:v>NAE-CWLITE-ARM</x:v>
      </x:c>
      <x:c r="C17" s="74" t="str">
        <x:v>https://www.mouser.com/ProductDetail/NewAE/NAE-CWLITE-ARM?qs=r5DSvlrkXmIUEZprO%2Fombw%3D%3D</x:v>
      </x:c>
      <x:c r="D17" s="74" t="str">
        <x:v>Price/link/source</x:v>
      </x:c>
      <x:c r="E17" s="48"/>
      <x:c r="F17" s="48"/>
      <x:c r="G17" s="48"/>
      <x:c r="H17" s="48"/>
      <x:c r="I17" s="48"/>
      <x:c r="J17" s="48"/>
    </x:row>
    <x:row r="18">
      <x:c r="A18" s="74" t="str">
        <x:v>Mouser product page</x:v>
      </x:c>
      <x:c r="B18" s="74" t="str">
        <x:v>NAE-CW308-04</x:v>
      </x:c>
      <x:c r="C18" s="74" t="str">
        <x:v>https://www.mouser.com/ProductDetail/NewAE/NAE-CW308-04?qs=r5DSvlrkXmKNVdAQ9%252BKpFQ%3D%3D</x:v>
      </x:c>
      <x:c r="D18" s="74" t="str">
        <x:v>Price/link/source</x:v>
      </x:c>
      <x:c r="E18" s="48"/>
      <x:c r="F18" s="48"/>
      <x:c r="G18" s="48"/>
      <x:c r="H18" s="48"/>
      <x:c r="I18" s="48"/>
      <x:c r="J18" s="48"/>
    </x:row>
    <x:row r="19">
      <x:c r="A19" s="74" t="str">
        <x:v>Mouser product page</x:v>
      </x:c>
      <x:c r="B19" s="74" t="str">
        <x:v>NAE-CW308T-STM32F4HWC</x:v>
      </x:c>
      <x:c r="C19" s="74" t="str">
        <x:v>https://www.mouser.com/ProductDetail/NewAE/NAE-CW308T-STM32F4HWC?qs=r5DSvlrkXmLrgVVFt%252BpyiQ%3D%3D</x:v>
      </x:c>
      <x:c r="D19" s="74" t="str">
        <x:v>Price/link/source</x:v>
      </x:c>
      <x:c r="E19" s="48"/>
      <x:c r="F19" s="48"/>
      <x:c r="G19" s="48"/>
      <x:c r="H19" s="48"/>
      <x:c r="I19" s="48"/>
      <x:c r="J19" s="48"/>
    </x:row>
    <x:row r="20">
      <x:c r="A20" s="74" t="str">
        <x:v>Mouser image</x:v>
      </x:c>
      <x:c r="B20" s="74" t="str">
        <x:v>NAE-CWLITE-ARM</x:v>
      </x:c>
      <x:c r="C20" s="74" t="str">
        <x:v>https://eu.mouser.com/images/newaetechnologyinc/images/NAE-CW1173_SPL.jpg</x:v>
      </x:c>
      <x:c r="D20" s="74" t="str">
        <x:v>Image</x:v>
      </x:c>
      <x:c r="E20" s="48"/>
      <x:c r="F20" s="48"/>
      <x:c r="G20" s="48"/>
      <x:c r="H20" s="48"/>
      <x:c r="I20" s="48"/>
      <x:c r="J20" s="48"/>
    </x:row>
    <x:row r="21">
      <x:c r="A21" s="74" t="str">
        <x:v>Mouser image</x:v>
      </x:c>
      <x:c r="B21" s="74" t="str">
        <x:v>NAE-CW308-04</x:v>
      </x:c>
      <x:c r="C21" s="74" t="str">
        <x:v>https://my.mouser.com/images/newaetechnologyinc/images/nae-cw308-04_SPL.jpg</x:v>
      </x:c>
      <x:c r="D21" s="74" t="str">
        <x:v>Image</x:v>
      </x:c>
      <x:c r="E21" s="48"/>
      <x:c r="F21" s="48"/>
      <x:c r="G21" s="48"/>
      <x:c r="H21" s="48"/>
      <x:c r="I21" s="48"/>
      <x:c r="J21" s="48"/>
    </x:row>
    <x:row r="22">
      <x:c r="A22" s="74" t="str">
        <x:v>Mouser image</x:v>
      </x:c>
      <x:c r="B22" s="74" t="str">
        <x:v>NAE-CW308T-STM32F4HWC</x:v>
      </x:c>
      <x:c r="C22" s="74" t="str">
        <x:v>https://www.mouser.com/images/newaetechnologyinc/images/NAE-CW308T-STM32F3_SPL.jpg</x:v>
      </x:c>
      <x:c r="D22" s="74" t="str">
        <x:v>Image used by Mouser for STM32F target family</x:v>
      </x:c>
      <x:c r="E22" s="48"/>
      <x:c r="F22" s="48"/>
      <x:c r="G22" s="48"/>
      <x:c r="H22" s="48"/>
      <x:c r="I22" s="48"/>
      <x:c r="J22" s="48"/>
    </x:row>
  </x:sheetData>
  <x:mergeCells>
    <x:mergeCell ref="A1:J1"/>
    <x:mergeCell ref="A2:J2"/>
    <x:mergeCell ref="A10:F10"/>
    <x:mergeCell ref="A11:F11"/>
    <x:mergeCell ref="A12:F12"/>
    <x:mergeCell ref="A13:F13"/>
  </x:mergeCells>
  <x:pageMargins left="0.7" right="0.7" top="0.75" bottom="0.75" header="0.3" footer="0.3"/>
  <x:drawing xmlns:r="http://schemas.openxmlformats.org/officeDocument/2006/relationships" r:id="Rd8d6b8eaecac45c7"/>
  <x:tableParts count="2">
    <x:tablePart xmlns:r="http://schemas.openxmlformats.org/officeDocument/2006/relationships" r:id="Ra9e33bda64a34865"/>
    <x:tablePart xmlns:r="http://schemas.openxmlformats.org/officeDocument/2006/relationships" r:id="R3664cb87f2ef4894"/>
  </x:tableParts>
</x:worksheet>
</file>